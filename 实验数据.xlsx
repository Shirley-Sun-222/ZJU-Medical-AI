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学习资料\医药人工智能\"/>
    </mc:Choice>
  </mc:AlternateContent>
  <xr:revisionPtr revIDLastSave="0" documentId="13_ncr:1_{D07C4CD1-FBA3-49D1-884E-B2CD0F9B79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4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0" i="1" l="1"/>
  <c r="T38" i="1"/>
  <c r="T39" i="1"/>
  <c r="K40" i="1"/>
  <c r="K39" i="1"/>
  <c r="K38" i="1"/>
  <c r="K34" i="1"/>
  <c r="K35" i="1"/>
  <c r="K36" i="1"/>
  <c r="K37" i="1"/>
  <c r="K33" i="1"/>
  <c r="C28" i="1"/>
  <c r="C27" i="1"/>
  <c r="C26" i="1"/>
  <c r="C25" i="1"/>
  <c r="C24" i="1"/>
  <c r="C23" i="1"/>
  <c r="C22" i="1"/>
  <c r="C20" i="1"/>
  <c r="C19" i="1"/>
  <c r="C21" i="1"/>
  <c r="C18" i="1"/>
  <c r="C17" i="1"/>
  <c r="C16" i="1"/>
  <c r="C15" i="1"/>
  <c r="C14" i="1"/>
  <c r="C12" i="1"/>
  <c r="C11" i="1"/>
  <c r="C10" i="1"/>
  <c r="C9" i="1"/>
  <c r="C7" i="1"/>
  <c r="C8" i="1"/>
  <c r="C5" i="1"/>
  <c r="C4" i="1"/>
  <c r="C6" i="1"/>
  <c r="C3" i="1"/>
  <c r="C2" i="1"/>
</calcChain>
</file>

<file path=xl/sharedStrings.xml><?xml version="1.0" encoding="utf-8"?>
<sst xmlns="http://schemas.openxmlformats.org/spreadsheetml/2006/main" count="16" uniqueCount="16">
  <si>
    <t>VC含量</t>
    <phoneticPr fontId="1" type="noConversion"/>
  </si>
  <si>
    <t>实验次数</t>
    <phoneticPr fontId="1" type="noConversion"/>
  </si>
  <si>
    <t>VC含量μL</t>
    <phoneticPr fontId="1" type="noConversion"/>
  </si>
  <si>
    <t>变色时间s（加入过硫酸铵溶液至变色）</t>
    <phoneticPr fontId="1" type="noConversion"/>
  </si>
  <si>
    <t>H变化区间</t>
    <phoneticPr fontId="1" type="noConversion"/>
  </si>
  <si>
    <t>101.96-93.71</t>
    <phoneticPr fontId="1" type="noConversion"/>
  </si>
  <si>
    <t>111.22-88.5</t>
    <phoneticPr fontId="1" type="noConversion"/>
  </si>
  <si>
    <t>118.49-99.32</t>
    <phoneticPr fontId="1" type="noConversion"/>
  </si>
  <si>
    <t>86.21-67.49</t>
    <phoneticPr fontId="1" type="noConversion"/>
  </si>
  <si>
    <t>81.1-73.96</t>
    <phoneticPr fontId="1" type="noConversion"/>
  </si>
  <si>
    <t>96.8-75.99</t>
    <phoneticPr fontId="1" type="noConversion"/>
  </si>
  <si>
    <t>98-74.28</t>
    <phoneticPr fontId="1" type="noConversion"/>
  </si>
  <si>
    <t>100-71.49</t>
    <phoneticPr fontId="1" type="noConversion"/>
  </si>
  <si>
    <t>t</t>
    <phoneticPr fontId="1" type="noConversion"/>
  </si>
  <si>
    <t>昨日下午测试数据</t>
    <phoneticPr fontId="1" type="noConversion"/>
  </si>
  <si>
    <t>今日下午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</si>
</sst>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'4.2'!$H$3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413385826771647E-3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'4.2'!$I$2:$V$2</c:f>
              <c:numCache>
                <c:formatCode>General</c:formatCode>
                <c:ptCount val="1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</c:numCache>
            </c:numRef>
          </c:xVal>
          <c:yVal>
            <c:numRef>
              <c:f>'4.2'!$I$3:$V$3</c:f>
              <c:numCache>
                <c:formatCode>General</c:formatCode>
                <c:ptCount val="14"/>
                <c:pt idx="0">
                  <c:v>13.874000000000001</c:v>
                </c:pt>
                <c:pt idx="1">
                  <c:v>15.198499999999999</c:v>
                </c:pt>
                <c:pt idx="2">
                  <c:v>25.744499999999999</c:v>
                </c:pt>
                <c:pt idx="3">
                  <c:v>27.251000000000001</c:v>
                </c:pt>
                <c:pt idx="4">
                  <c:v>33.991999999999997</c:v>
                </c:pt>
                <c:pt idx="5">
                  <c:v>36.573</c:v>
                </c:pt>
                <c:pt idx="6">
                  <c:v>48.534500000000001</c:v>
                </c:pt>
                <c:pt idx="7">
                  <c:v>54.124000000000002</c:v>
                </c:pt>
                <c:pt idx="8">
                  <c:v>65.281000000000006</c:v>
                </c:pt>
                <c:pt idx="9">
                  <c:v>67.870999999999995</c:v>
                </c:pt>
                <c:pt idx="10">
                  <c:v>74.113</c:v>
                </c:pt>
                <c:pt idx="11">
                  <c:v>91.723500000000001</c:v>
                </c:pt>
                <c:pt idx="12">
                  <c:v>101.62050000000001</c:v>
                </c:pt>
                <c:pt idx="13">
                  <c:v>110.792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2-4B0D-9913-2B97143F6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12687"/>
        <c:axId val="462914127"/>
      </c:scatterChart>
      <c:valAx>
        <c:axId val="46291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2914127"/>
        <c:crosses val="autoZero"/>
        <c:crossBetween val="midCat"/>
      </c:valAx>
      <c:valAx>
        <c:axId val="4629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291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'4.2'!$E$33:$E$40</c:f>
              <c:numCache>
                <c:formatCode>General</c:formatCode>
                <c:ptCount val="8"/>
                <c:pt idx="0">
                  <c:v>320</c:v>
                </c:pt>
                <c:pt idx="2">
                  <c:v>480</c:v>
                </c:pt>
                <c:pt idx="3">
                  <c:v>400</c:v>
                </c:pt>
                <c:pt idx="4">
                  <c:v>240</c:v>
                </c:pt>
                <c:pt idx="5">
                  <c:v>565</c:v>
                </c:pt>
                <c:pt idx="6">
                  <c:v>675</c:v>
                </c:pt>
                <c:pt idx="7">
                  <c:v>760</c:v>
                </c:pt>
              </c:numCache>
            </c:numRef>
          </c:xVal>
          <c:yVal>
            <c:numRef>
              <c:f>'4.2'!$K$33:$K$40</c:f>
              <c:numCache>
                <c:formatCode>General</c:formatCode>
                <c:ptCount val="8"/>
                <c:pt idx="0">
                  <c:v>33.49666666666667</c:v>
                </c:pt>
                <c:pt idx="1">
                  <c:v>0</c:v>
                </c:pt>
                <c:pt idx="2">
                  <c:v>50.094999999999999</c:v>
                </c:pt>
                <c:pt idx="3">
                  <c:v>42.123333333333335</c:v>
                </c:pt>
                <c:pt idx="4">
                  <c:v>24.52333333333333</c:v>
                </c:pt>
                <c:pt idx="5">
                  <c:v>58.29666666666666</c:v>
                </c:pt>
                <c:pt idx="6">
                  <c:v>70.399999999999991</c:v>
                </c:pt>
                <c:pt idx="7">
                  <c:v>81.814999999999998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C-4C89-A4BC-A7CE1F169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666015"/>
        <c:axId val="1210668895"/>
      </c:scatterChart>
      <c:valAx>
        <c:axId val="121066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0668895"/>
        <c:crosses val="autoZero"/>
        <c:crossBetween val="midCat"/>
      </c:valAx>
      <c:valAx>
        <c:axId val="121066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066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'4.2'!$Q$38:$Q$40</c:f>
              <c:numCache>
                <c:formatCode>General</c:formatCode>
                <c:ptCount val="3"/>
                <c:pt idx="0">
                  <c:v>500</c:v>
                </c:pt>
                <c:pt idx="1">
                  <c:v>670</c:v>
                </c:pt>
                <c:pt idx="2">
                  <c:v>640</c:v>
                </c:pt>
              </c:numCache>
            </c:numRef>
          </c:xVal>
          <c:yVal>
            <c:numRef>
              <c:f>'4.2'!$T$38:$T$40</c:f>
              <c:numCache>
                <c:formatCode>General</c:formatCode>
                <c:ptCount val="3"/>
                <c:pt idx="0">
                  <c:v>57.269999999999996</c:v>
                </c:pt>
                <c:pt idx="1">
                  <c:v>74.414999999999992</c:v>
                </c:pt>
                <c:pt idx="2">
                  <c:v>64.900000000000006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0-41EF-9E8B-D6D0B9514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675040"/>
        <c:axId val="1237691840"/>
      </c:scatterChart>
      <c:valAx>
        <c:axId val="123767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7691840"/>
        <c:crosses val="autoZero"/>
        <c:crossBetween val="midCat"/>
      </c:valAx>
      <c:valAx>
        <c:axId val="123769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767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4</xdr:row>
      <xdr:rowOff>155575</xdr:rowOff>
    </xdr:from>
    <xdr:to>
      <xdr:col>15</xdr:col>
      <xdr:colOff>63500</xdr:colOff>
      <xdr:row>20</xdr:row>
      <xdr:rowOff>53975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D4A4CFB-79E5-8773-1CA1-523BF8D35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2952750</xdr:colOff>
      <xdr:row>43</xdr:row>
      <xdr:rowOff>171450</xdr:rowOff>
    </xdr:from>
    <xdr:to>
      <xdr:col>9</xdr:col>
      <xdr:colOff>273050</xdr:colOff>
      <xdr:row>59</xdr:row>
      <xdr:rowOff>69850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CE2CE1D-7C89-FE60-DDD9-6E4DD8225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285750</xdr:colOff>
      <xdr:row>44</xdr:row>
      <xdr:rowOff>31750</xdr:rowOff>
    </xdr:from>
    <xdr:to>
      <xdr:col>19</xdr:col>
      <xdr:colOff>234950</xdr:colOff>
      <xdr:row>59</xdr:row>
      <xdr:rowOff>107950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7EDF4A2-E048-C6BC-BB4E-D5AF53B41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D26" workbookViewId="0">
      <selection activeCell="M38" sqref="M38"/>
    </sheetView>
  </sheetViews>
  <sheetFormatPr defaultRowHeight="14" x14ac:dyDescent="0.3"/>
  <cols>
    <col min="1" max="1" width="10.58203125" customWidth="1"/>
    <col min="3" max="3" width="44.25" customWidth="1"/>
    <col min="4" max="4" width="16.25" customWidth="1"/>
  </cols>
  <sheetData>
    <row r="1" spans="1:22" x14ac:dyDescent="0.3">
      <c r="A1" t="s">
        <v>2</v>
      </c>
      <c r="B1" t="s">
        <v>1</v>
      </c>
      <c r="C1" t="s">
        <v>3</v>
      </c>
      <c r="D1" t="s">
        <v>4</v>
      </c>
      <c r="H1">
        <v>3</v>
      </c>
    </row>
    <row r="2" spans="1:22" x14ac:dyDescent="0.3">
      <c r="A2" s="1">
        <v>100</v>
      </c>
      <c r="B2">
        <v>1</v>
      </c>
      <c r="C2">
        <f>15.78-1.943</f>
        <v>13.837</v>
      </c>
      <c r="D2" t="s">
        <v>6</v>
      </c>
      <c r="H2" t="s">
        <v>0</v>
      </c>
      <c r="I2">
        <v>100</v>
      </c>
      <c r="J2">
        <v>150</v>
      </c>
      <c r="K2">
        <v>200</v>
      </c>
      <c r="L2">
        <v>250</v>
      </c>
      <c r="M2">
        <v>300</v>
      </c>
      <c r="N2">
        <v>350</v>
      </c>
      <c r="O2">
        <v>400</v>
      </c>
      <c r="P2">
        <v>450</v>
      </c>
      <c r="Q2">
        <v>500</v>
      </c>
      <c r="R2">
        <v>550</v>
      </c>
      <c r="S2">
        <v>600</v>
      </c>
      <c r="T2">
        <v>700</v>
      </c>
      <c r="U2">
        <v>800</v>
      </c>
      <c r="V2">
        <v>900</v>
      </c>
    </row>
    <row r="3" spans="1:22" x14ac:dyDescent="0.3">
      <c r="A3" s="2"/>
      <c r="B3">
        <v>2</v>
      </c>
      <c r="C3">
        <f>15.93-2.019</f>
        <v>13.911</v>
      </c>
      <c r="D3" t="s">
        <v>7</v>
      </c>
      <c r="H3" t="s">
        <v>13</v>
      </c>
      <c r="I3">
        <v>13.874000000000001</v>
      </c>
      <c r="J3">
        <v>15.198499999999999</v>
      </c>
      <c r="K3">
        <v>25.744499999999999</v>
      </c>
      <c r="L3">
        <v>27.251000000000001</v>
      </c>
      <c r="M3">
        <v>33.991999999999997</v>
      </c>
      <c r="N3">
        <v>36.573</v>
      </c>
      <c r="O3">
        <v>48.534500000000001</v>
      </c>
      <c r="P3">
        <v>54.124000000000002</v>
      </c>
      <c r="Q3">
        <v>65.281000000000006</v>
      </c>
      <c r="R3">
        <v>67.870999999999995</v>
      </c>
      <c r="S3">
        <v>74.113</v>
      </c>
      <c r="T3">
        <v>91.723500000000001</v>
      </c>
      <c r="U3">
        <v>101.62050000000001</v>
      </c>
      <c r="V3">
        <v>110.792</v>
      </c>
    </row>
    <row r="4" spans="1:22" x14ac:dyDescent="0.3">
      <c r="A4" s="1">
        <v>150</v>
      </c>
      <c r="B4">
        <v>1</v>
      </c>
      <c r="C4">
        <f>-1.555+16.04</f>
        <v>14.484999999999999</v>
      </c>
      <c r="D4" t="s">
        <v>8</v>
      </c>
    </row>
    <row r="5" spans="1:22" x14ac:dyDescent="0.3">
      <c r="A5" s="2"/>
      <c r="B5">
        <v>2</v>
      </c>
      <c r="C5">
        <f>-2.594+18.506</f>
        <v>15.912000000000001</v>
      </c>
      <c r="D5" t="s">
        <v>9</v>
      </c>
    </row>
    <row r="6" spans="1:22" x14ac:dyDescent="0.3">
      <c r="A6" s="1">
        <v>200</v>
      </c>
      <c r="B6">
        <v>1</v>
      </c>
      <c r="C6">
        <f>-1.239+27.5</f>
        <v>26.260999999999999</v>
      </c>
      <c r="D6" t="s">
        <v>5</v>
      </c>
    </row>
    <row r="7" spans="1:22" x14ac:dyDescent="0.3">
      <c r="A7" s="2"/>
      <c r="B7">
        <v>2</v>
      </c>
      <c r="C7">
        <f>-2.379+27.607</f>
        <v>25.227999999999998</v>
      </c>
      <c r="D7" t="s">
        <v>10</v>
      </c>
    </row>
    <row r="8" spans="1:22" x14ac:dyDescent="0.3">
      <c r="A8" s="1">
        <v>250</v>
      </c>
      <c r="B8">
        <v>1</v>
      </c>
      <c r="C8">
        <f>-2.334+29.81</f>
        <v>27.475999999999999</v>
      </c>
      <c r="D8" t="s">
        <v>11</v>
      </c>
    </row>
    <row r="9" spans="1:22" x14ac:dyDescent="0.3">
      <c r="A9" s="2"/>
      <c r="B9">
        <v>2</v>
      </c>
      <c r="C9">
        <f>-1.53+26.632/2+30.48/2</f>
        <v>27.026000000000003</v>
      </c>
      <c r="D9" t="s">
        <v>12</v>
      </c>
    </row>
    <row r="10" spans="1:22" x14ac:dyDescent="0.3">
      <c r="A10" s="1">
        <v>300</v>
      </c>
      <c r="B10">
        <v>1</v>
      </c>
      <c r="C10">
        <f>-2.269+49.594</f>
        <v>47.325000000000003</v>
      </c>
    </row>
    <row r="11" spans="1:22" x14ac:dyDescent="0.3">
      <c r="A11" s="2"/>
      <c r="B11">
        <v>2</v>
      </c>
      <c r="C11">
        <f>-3.005+36.997</f>
        <v>33.991999999999997</v>
      </c>
    </row>
    <row r="12" spans="1:22" x14ac:dyDescent="0.3">
      <c r="A12" s="1">
        <v>350</v>
      </c>
      <c r="B12">
        <v>1</v>
      </c>
      <c r="C12">
        <f>-0.857+37.43</f>
        <v>36.573</v>
      </c>
    </row>
    <row r="13" spans="1:22" x14ac:dyDescent="0.3">
      <c r="A13" s="2"/>
      <c r="B13">
        <v>2</v>
      </c>
    </row>
    <row r="14" spans="1:22" x14ac:dyDescent="0.3">
      <c r="A14" s="1">
        <v>400</v>
      </c>
      <c r="B14">
        <v>1</v>
      </c>
      <c r="C14">
        <f>52.497-3.913</f>
        <v>48.584000000000003</v>
      </c>
    </row>
    <row r="15" spans="1:22" x14ac:dyDescent="0.3">
      <c r="A15" s="2"/>
      <c r="B15">
        <v>2</v>
      </c>
      <c r="C15">
        <f>49.292-0.807</f>
        <v>48.484999999999999</v>
      </c>
    </row>
    <row r="16" spans="1:22" x14ac:dyDescent="0.3">
      <c r="A16" s="1">
        <v>450</v>
      </c>
      <c r="B16">
        <v>1</v>
      </c>
      <c r="C16">
        <f>55.521-1.74</f>
        <v>53.780999999999999</v>
      </c>
    </row>
    <row r="17" spans="1:17" x14ac:dyDescent="0.3">
      <c r="A17" s="2"/>
      <c r="B17">
        <v>2</v>
      </c>
      <c r="C17">
        <f>56.717-2.25</f>
        <v>54.466999999999999</v>
      </c>
    </row>
    <row r="18" spans="1:17" x14ac:dyDescent="0.3">
      <c r="A18" s="1">
        <v>500</v>
      </c>
      <c r="B18">
        <v>1</v>
      </c>
      <c r="C18">
        <f>-1.046+68.555</f>
        <v>67.509</v>
      </c>
    </row>
    <row r="19" spans="1:17" x14ac:dyDescent="0.3">
      <c r="A19" s="2"/>
      <c r="B19">
        <v>2</v>
      </c>
      <c r="C19">
        <f>65.297-2.244</f>
        <v>63.052999999999997</v>
      </c>
    </row>
    <row r="20" spans="1:17" x14ac:dyDescent="0.3">
      <c r="A20" s="1">
        <v>550</v>
      </c>
      <c r="B20">
        <v>1</v>
      </c>
      <c r="C20">
        <f>68.141-1.246</f>
        <v>66.89500000000001</v>
      </c>
    </row>
    <row r="21" spans="1:17" x14ac:dyDescent="0.3">
      <c r="A21" s="2"/>
      <c r="B21">
        <v>2</v>
      </c>
      <c r="C21">
        <f>70.424-1.577</f>
        <v>68.847000000000008</v>
      </c>
    </row>
    <row r="22" spans="1:17" x14ac:dyDescent="0.3">
      <c r="A22" s="1">
        <v>600</v>
      </c>
      <c r="B22">
        <v>1</v>
      </c>
      <c r="C22">
        <f>77.227-2.732</f>
        <v>74.495000000000005</v>
      </c>
    </row>
    <row r="23" spans="1:17" x14ac:dyDescent="0.3">
      <c r="A23" s="2"/>
      <c r="B23">
        <v>2</v>
      </c>
      <c r="C23">
        <f>74.271-0.54</f>
        <v>73.730999999999995</v>
      </c>
    </row>
    <row r="24" spans="1:17" x14ac:dyDescent="0.3">
      <c r="A24" s="1">
        <v>700</v>
      </c>
      <c r="B24">
        <v>1</v>
      </c>
      <c r="C24">
        <f>92.215-2.345</f>
        <v>89.87</v>
      </c>
    </row>
    <row r="25" spans="1:17" x14ac:dyDescent="0.3">
      <c r="A25" s="2"/>
      <c r="B25">
        <v>2</v>
      </c>
      <c r="C25">
        <f>95.608-2.031</f>
        <v>93.576999999999998</v>
      </c>
    </row>
    <row r="26" spans="1:17" x14ac:dyDescent="0.3">
      <c r="A26" s="1">
        <v>800</v>
      </c>
      <c r="B26">
        <v>1</v>
      </c>
      <c r="C26">
        <f>104.088-1.106</f>
        <v>102.982</v>
      </c>
    </row>
    <row r="27" spans="1:17" x14ac:dyDescent="0.3">
      <c r="A27" s="2"/>
      <c r="B27">
        <v>2</v>
      </c>
      <c r="C27">
        <f>101.229-0.97</f>
        <v>100.259</v>
      </c>
    </row>
    <row r="28" spans="1:17" x14ac:dyDescent="0.3">
      <c r="A28" s="1">
        <v>900</v>
      </c>
      <c r="B28">
        <v>1</v>
      </c>
      <c r="C28">
        <f>112.447-1.655</f>
        <v>110.792</v>
      </c>
    </row>
    <row r="29" spans="1:17" x14ac:dyDescent="0.3">
      <c r="A29" s="2"/>
      <c r="B29">
        <v>2</v>
      </c>
    </row>
    <row r="32" spans="1:17" x14ac:dyDescent="0.3">
      <c r="Q32" t="s">
        <v>14</v>
      </c>
    </row>
    <row r="33" spans="3:21" x14ac:dyDescent="0.3">
      <c r="E33">
        <v>320</v>
      </c>
      <c r="G33">
        <v>34.08</v>
      </c>
      <c r="H33">
        <v>33.1</v>
      </c>
      <c r="I33">
        <v>33.31</v>
      </c>
      <c r="K33">
        <f t="shared" ref="K33:K40" si="0">AVERAGE(G33:J33)</f>
        <v>33.49666666666667</v>
      </c>
      <c r="L33">
        <v>7</v>
      </c>
      <c r="M33">
        <v>33.659999999999997</v>
      </c>
      <c r="N33">
        <v>33.93</v>
      </c>
      <c r="Q33">
        <v>330</v>
      </c>
      <c r="R33">
        <v>30.84</v>
      </c>
      <c r="T33">
        <v>325</v>
      </c>
      <c r="U33">
        <v>30.45</v>
      </c>
    </row>
    <row r="34" spans="3:21" x14ac:dyDescent="0.3">
      <c r="C34">
        <v>465</v>
      </c>
      <c r="D34">
        <v>50.58</v>
      </c>
      <c r="K34" t="e">
        <f t="shared" si="0"/>
        <v>#DIV/0!</v>
      </c>
      <c r="L34">
        <v>5</v>
      </c>
      <c r="M34">
        <v>52.34</v>
      </c>
      <c r="N34">
        <v>52.27</v>
      </c>
      <c r="Q34">
        <v>500</v>
      </c>
      <c r="R34">
        <v>45.94</v>
      </c>
      <c r="S34">
        <v>47</v>
      </c>
      <c r="T34">
        <v>545</v>
      </c>
      <c r="U34">
        <v>48</v>
      </c>
    </row>
    <row r="35" spans="3:21" x14ac:dyDescent="0.3">
      <c r="E35">
        <v>480</v>
      </c>
      <c r="G35">
        <v>49.93</v>
      </c>
      <c r="H35">
        <v>49.56</v>
      </c>
      <c r="I35">
        <v>50.33</v>
      </c>
      <c r="J35">
        <v>50.56</v>
      </c>
      <c r="K35">
        <f t="shared" si="0"/>
        <v>50.094999999999999</v>
      </c>
    </row>
    <row r="36" spans="3:21" x14ac:dyDescent="0.3">
      <c r="E36">
        <v>400</v>
      </c>
      <c r="G36">
        <v>41.14</v>
      </c>
      <c r="H36">
        <v>42.53</v>
      </c>
      <c r="I36">
        <v>42.7</v>
      </c>
      <c r="K36">
        <f t="shared" si="0"/>
        <v>42.123333333333335</v>
      </c>
      <c r="L36">
        <v>6</v>
      </c>
      <c r="M36">
        <v>43.15</v>
      </c>
    </row>
    <row r="37" spans="3:21" x14ac:dyDescent="0.3">
      <c r="E37">
        <v>240</v>
      </c>
      <c r="G37">
        <v>23.78</v>
      </c>
      <c r="H37">
        <v>24.79</v>
      </c>
      <c r="I37">
        <v>25</v>
      </c>
      <c r="K37">
        <f t="shared" si="0"/>
        <v>24.52333333333333</v>
      </c>
      <c r="L37">
        <v>8</v>
      </c>
      <c r="M37">
        <v>24.63</v>
      </c>
      <c r="Q37" t="s">
        <v>15</v>
      </c>
    </row>
    <row r="38" spans="3:21" x14ac:dyDescent="0.3">
      <c r="E38">
        <v>565</v>
      </c>
      <c r="G38">
        <v>59.03</v>
      </c>
      <c r="H38">
        <v>57.82</v>
      </c>
      <c r="I38">
        <v>58.04</v>
      </c>
      <c r="K38">
        <f t="shared" si="0"/>
        <v>58.29666666666666</v>
      </c>
      <c r="L38">
        <v>4</v>
      </c>
      <c r="M38">
        <v>61.67</v>
      </c>
      <c r="Q38">
        <v>500</v>
      </c>
      <c r="R38">
        <v>56.66</v>
      </c>
      <c r="S38">
        <v>57.88</v>
      </c>
      <c r="T38">
        <f>AVERAGE(R38:S38)</f>
        <v>57.269999999999996</v>
      </c>
    </row>
    <row r="39" spans="3:21" x14ac:dyDescent="0.3">
      <c r="E39">
        <v>675</v>
      </c>
      <c r="G39">
        <v>69.89</v>
      </c>
      <c r="H39">
        <v>69.98</v>
      </c>
      <c r="I39">
        <v>71.33</v>
      </c>
      <c r="K39">
        <f t="shared" si="0"/>
        <v>70.399999999999991</v>
      </c>
      <c r="L39">
        <v>3</v>
      </c>
      <c r="M39">
        <v>70.84</v>
      </c>
      <c r="Q39">
        <v>670</v>
      </c>
      <c r="R39">
        <v>72.16</v>
      </c>
      <c r="S39">
        <v>76.67</v>
      </c>
      <c r="T39">
        <f>AVERAGE(R39:S39)</f>
        <v>74.414999999999992</v>
      </c>
    </row>
    <row r="40" spans="3:21" x14ac:dyDescent="0.3">
      <c r="E40">
        <v>760</v>
      </c>
      <c r="G40">
        <v>81.67</v>
      </c>
      <c r="I40">
        <v>81.96</v>
      </c>
      <c r="K40">
        <f t="shared" si="0"/>
        <v>81.814999999999998</v>
      </c>
      <c r="L40">
        <v>2</v>
      </c>
      <c r="M40">
        <v>80.11</v>
      </c>
      <c r="Q40">
        <v>640</v>
      </c>
      <c r="R40">
        <v>64.900000000000006</v>
      </c>
      <c r="T40">
        <f>AVERAGE(R40:S40)</f>
        <v>64.900000000000006</v>
      </c>
    </row>
    <row r="41" spans="3:21" x14ac:dyDescent="0.3">
      <c r="H41">
        <v>82.83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余继锐</dc:creator>
  <cp:lastModifiedBy>胜涛 胡</cp:lastModifiedBy>
  <dcterms:created xsi:type="dcterms:W3CDTF">2015-06-05T18:19:34Z</dcterms:created>
  <dcterms:modified xsi:type="dcterms:W3CDTF">2026-04-16T06:47:49Z</dcterms:modified>
</cp:coreProperties>
</file>